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files.baxter.com/personal/jordan_lyles_baxter_com/Documents/Desktop/"/>
    </mc:Choice>
  </mc:AlternateContent>
  <xr:revisionPtr revIDLastSave="613" documentId="8_{76753736-2B06-4696-972B-C346F912892A}" xr6:coauthVersionLast="47" xr6:coauthVersionMax="47" xr10:uidLastSave="{9B7F453B-FFC4-410D-A195-EB4A7FCBEE2B}"/>
  <bookViews>
    <workbookView xWindow="-108" yWindow="-108" windowWidth="23256" windowHeight="12576" xr2:uid="{F551E7AD-D276-487A-9CDB-5C0A20A000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1" l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B18" i="1"/>
</calcChain>
</file>

<file path=xl/sharedStrings.xml><?xml version="1.0" encoding="utf-8"?>
<sst xmlns="http://schemas.openxmlformats.org/spreadsheetml/2006/main" count="154" uniqueCount="78">
  <si>
    <t>SEM 1</t>
  </si>
  <si>
    <t>SEM 2</t>
  </si>
  <si>
    <t>SEM 3</t>
  </si>
  <si>
    <t>SEM 4</t>
  </si>
  <si>
    <t>SEM 5</t>
  </si>
  <si>
    <t>SEM 6</t>
  </si>
  <si>
    <t>SEM 7</t>
  </si>
  <si>
    <t>SEM 8</t>
  </si>
  <si>
    <t>SEM 9</t>
  </si>
  <si>
    <t>SEM 10</t>
  </si>
  <si>
    <t>SEM 11</t>
  </si>
  <si>
    <t>SEM 12</t>
  </si>
  <si>
    <t>SEM 13</t>
  </si>
  <si>
    <t>SEM 14</t>
  </si>
  <si>
    <t>SEM 15</t>
  </si>
  <si>
    <t>-</t>
  </si>
  <si>
    <t>*</t>
  </si>
  <si>
    <t>†</t>
  </si>
  <si>
    <t>(M) Pore Area</t>
  </si>
  <si>
    <t>(M) Pore SD</t>
  </si>
  <si>
    <t>(M)  Fiber SD</t>
  </si>
  <si>
    <t>(M)  Fiber Radius</t>
  </si>
  <si>
    <t>(S) Pore Area</t>
  </si>
  <si>
    <t>(S) Pore SD</t>
  </si>
  <si>
    <t>(S) Fiber Radius</t>
  </si>
  <si>
    <t xml:space="preserve">(S) Fiber SD </t>
  </si>
  <si>
    <t>(T) Pore Area</t>
  </si>
  <si>
    <t>(T) Pore SD</t>
  </si>
  <si>
    <t>(T) Fiber Radius</t>
  </si>
  <si>
    <t xml:space="preserve">(T) Fiber SD </t>
  </si>
  <si>
    <t>(Man) Pore SD</t>
  </si>
  <si>
    <t>(Man) Pore Area</t>
  </si>
  <si>
    <t>(Man) Fiber SD</t>
  </si>
  <si>
    <t>(Man) Fiber Radius</t>
  </si>
  <si>
    <t>(M) Pore p-value</t>
  </si>
  <si>
    <t>(S) Pore p-value</t>
  </si>
  <si>
    <t>(T) Pore p-value</t>
  </si>
  <si>
    <t>(T) Radius p-value</t>
  </si>
  <si>
    <t>(Man) Pore p-value</t>
  </si>
  <si>
    <t>0.684†</t>
  </si>
  <si>
    <t>0.468†</t>
  </si>
  <si>
    <t>SEM 16</t>
  </si>
  <si>
    <t>0.999†</t>
  </si>
  <si>
    <t>Mixed Segmentation</t>
  </si>
  <si>
    <t>Traditional Segmentation</t>
  </si>
  <si>
    <t xml:space="preserve">Pore </t>
  </si>
  <si>
    <t>Radius</t>
  </si>
  <si>
    <t>Statistical Segmentation</t>
  </si>
  <si>
    <t>(S) Radius p-value</t>
  </si>
  <si>
    <t>(M) Radius p-value</t>
  </si>
  <si>
    <t>0.998†</t>
  </si>
  <si>
    <t>0.967†</t>
  </si>
  <si>
    <t>0.983†</t>
  </si>
  <si>
    <t>0.994†</t>
  </si>
  <si>
    <t>0.057†</t>
  </si>
  <si>
    <t>0.829†</t>
  </si>
  <si>
    <t>0.703†</t>
  </si>
  <si>
    <t>1†</t>
  </si>
  <si>
    <t>0.996†</t>
  </si>
  <si>
    <t>0.989†</t>
  </si>
  <si>
    <t>0.99†</t>
  </si>
  <si>
    <t>Total</t>
  </si>
  <si>
    <t>0.374†</t>
  </si>
  <si>
    <t>0.296*</t>
  </si>
  <si>
    <t>0.423†</t>
  </si>
  <si>
    <t>0.42†</t>
  </si>
  <si>
    <t>0.691†</t>
  </si>
  <si>
    <t>0.719†</t>
  </si>
  <si>
    <t>0.202*</t>
  </si>
  <si>
    <t>0.248†</t>
  </si>
  <si>
    <t>statistically similar</t>
  </si>
  <si>
    <t>smallest difference of means</t>
  </si>
  <si>
    <t>Mixed (Pore)</t>
  </si>
  <si>
    <t>Traditional (Pore)</t>
  </si>
  <si>
    <t>Statistical (Pore)</t>
  </si>
  <si>
    <t>Statistical (Fiber radius)</t>
  </si>
  <si>
    <t>Traditional (Fiber radius)</t>
  </si>
  <si>
    <t xml:space="preserve">Mixed (Fiber radius)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</si>
</sst>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quotePrefix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4F77C-E92E-46A4-9DAE-9AAD58F8F161}">
  <dimension ref="A1:V44"/>
  <sheetViews>
    <sheetView tabSelected="1" topLeftCell="B25" zoomScaleNormal="100" workbookViewId="0">
      <selection activeCell="C40" sqref="C40:F44"/>
    </sheetView>
  </sheetViews>
  <sheetFormatPr defaultRowHeight="14.4" x14ac:dyDescent="0.3"/>
  <cols>
    <col min="1" max="1" width="8.88671875" style="2"/>
    <col min="2" max="2" width="14.5546875" style="2" bestFit="1" customWidth="1"/>
    <col min="3" max="3" width="13.77734375" style="2" bestFit="1" customWidth="1"/>
    <col min="4" max="4" width="17.5546875" style="2" bestFit="1" customWidth="1"/>
    <col min="5" max="5" width="20" style="2" bestFit="1" customWidth="1"/>
    <col min="6" max="6" width="20.88671875" style="2" bestFit="1" customWidth="1"/>
    <col min="7" max="7" width="16.109375" style="2" bestFit="1" customWidth="1"/>
    <col min="8" max="8" width="15.33203125" style="2" bestFit="1" customWidth="1"/>
    <col min="9" max="9" width="17.5546875" style="2" bestFit="1" customWidth="1"/>
    <col min="10" max="10" width="20" style="2" bestFit="1" customWidth="1"/>
    <col min="11" max="11" width="20.88671875" style="2" bestFit="1" customWidth="1"/>
    <col min="12" max="12" width="24.77734375" style="2" bestFit="1" customWidth="1"/>
    <col min="13" max="13" width="10.109375" style="2" customWidth="1"/>
    <col min="14" max="14" width="16.5546875" style="2" bestFit="1" customWidth="1"/>
    <col min="15" max="15" width="12.5546875" style="2" bestFit="1" customWidth="1"/>
    <col min="16" max="16" width="16.5546875" style="2" bestFit="1" customWidth="1"/>
    <col min="17" max="17" width="12.77734375" style="2" bestFit="1" customWidth="1"/>
    <col min="18" max="18" width="8.88671875" style="2"/>
    <col min="19" max="19" width="14.5546875" style="2" bestFit="1" customWidth="1"/>
    <col min="20" max="20" width="17.88671875" style="2" bestFit="1" customWidth="1"/>
    <col min="21" max="21" width="21.77734375" style="2" bestFit="1" customWidth="1"/>
    <col min="22" max="22" width="20.77734375" style="2" bestFit="1" customWidth="1"/>
    <col min="23" max="16384" width="8.88671875" style="2"/>
  </cols>
  <sheetData>
    <row r="1" spans="1:22" x14ac:dyDescent="0.3">
      <c r="B1" s="2" t="s">
        <v>18</v>
      </c>
      <c r="C1" s="2" t="s">
        <v>19</v>
      </c>
      <c r="D1" s="2" t="s">
        <v>21</v>
      </c>
      <c r="E1" s="2" t="s">
        <v>20</v>
      </c>
      <c r="F1" s="2" t="s">
        <v>22</v>
      </c>
      <c r="G1" s="2" t="s">
        <v>23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31</v>
      </c>
      <c r="O1" s="2" t="s">
        <v>30</v>
      </c>
      <c r="P1" s="2" t="s">
        <v>33</v>
      </c>
      <c r="Q1" s="2" t="s">
        <v>32</v>
      </c>
      <c r="T1" s="2" t="s">
        <v>43</v>
      </c>
      <c r="U1" s="2" t="s">
        <v>44</v>
      </c>
      <c r="V1" s="2" t="s">
        <v>47</v>
      </c>
    </row>
    <row r="2" spans="1:22" x14ac:dyDescent="0.3">
      <c r="A2" s="2" t="s">
        <v>0</v>
      </c>
      <c r="B2" s="2">
        <v>0.1613</v>
      </c>
      <c r="C2" s="2">
        <v>0.27589999999999998</v>
      </c>
      <c r="D2" s="2">
        <v>7.8307000000000002E-2</v>
      </c>
      <c r="E2" s="2">
        <v>3.8009000000000001E-2</v>
      </c>
      <c r="F2" s="2">
        <v>0.1258</v>
      </c>
      <c r="G2" s="2">
        <v>0.1721</v>
      </c>
      <c r="H2" s="2">
        <v>7.7475000000000002E-2</v>
      </c>
      <c r="I2" s="2">
        <v>4.0823999999999999E-2</v>
      </c>
      <c r="J2" s="2">
        <v>0.1638</v>
      </c>
      <c r="K2" s="2">
        <v>0.29089999999999999</v>
      </c>
      <c r="L2" s="2">
        <v>7.5607999999999995E-2</v>
      </c>
      <c r="M2" s="2">
        <v>3.7012000000000003E-2</v>
      </c>
      <c r="N2" s="2">
        <v>0.13519999999999999</v>
      </c>
      <c r="O2" s="2">
        <v>0.1928</v>
      </c>
      <c r="P2" s="2">
        <v>8.9889999999999998E-2</v>
      </c>
      <c r="Q2" s="2">
        <v>2.9180000000000001E-2</v>
      </c>
      <c r="S2" s="2" t="s">
        <v>45</v>
      </c>
      <c r="T2" s="2">
        <v>7</v>
      </c>
      <c r="U2" s="2">
        <v>3</v>
      </c>
      <c r="V2" s="2">
        <v>6</v>
      </c>
    </row>
    <row r="3" spans="1:22" x14ac:dyDescent="0.3">
      <c r="A3" s="2" t="s">
        <v>1</v>
      </c>
      <c r="B3" s="2">
        <v>4.8800000000000003E-2</v>
      </c>
      <c r="C3" s="2">
        <v>0.10539999999999999</v>
      </c>
      <c r="D3" s="2">
        <v>5.4509000000000002E-2</v>
      </c>
      <c r="E3" s="2">
        <v>2.315E-2</v>
      </c>
      <c r="F3" s="2">
        <v>5.62E-2</v>
      </c>
      <c r="G3" s="2">
        <v>0.1188</v>
      </c>
      <c r="H3" s="2">
        <v>5.5999899999999998E-2</v>
      </c>
      <c r="I3" s="2">
        <v>2.5274999999999999E-2</v>
      </c>
      <c r="J3" s="2">
        <v>5.5500000000000001E-2</v>
      </c>
      <c r="K3" s="2">
        <v>0.1163</v>
      </c>
      <c r="L3" s="2">
        <v>5.2887000000000003E-2</v>
      </c>
      <c r="M3" s="2">
        <v>2.2495999999999999E-2</v>
      </c>
      <c r="N3" s="2">
        <v>6.4000000000000001E-2</v>
      </c>
      <c r="O3" s="2">
        <v>0.1109</v>
      </c>
      <c r="P3" s="2">
        <v>5.0200000000000002E-2</v>
      </c>
      <c r="Q3" s="2">
        <v>1.55E-2</v>
      </c>
      <c r="S3" s="2" t="s">
        <v>46</v>
      </c>
      <c r="T3" s="2">
        <v>3</v>
      </c>
      <c r="U3" s="2">
        <v>1</v>
      </c>
      <c r="V3" s="2">
        <v>6</v>
      </c>
    </row>
    <row r="4" spans="1:22" x14ac:dyDescent="0.3">
      <c r="A4" s="2" t="s">
        <v>2</v>
      </c>
      <c r="B4" s="2">
        <v>5.2400000000000002E-2</v>
      </c>
      <c r="C4" s="2">
        <v>7.9000000000000001E-2</v>
      </c>
      <c r="D4" s="2">
        <v>4.8913999999999999E-2</v>
      </c>
      <c r="E4" s="2">
        <v>2.2526999999999998E-2</v>
      </c>
      <c r="F4" s="2">
        <v>7.51E-2</v>
      </c>
      <c r="G4" s="2">
        <v>0.17280000000000001</v>
      </c>
      <c r="H4" s="2">
        <v>5.4093000000000002E-2</v>
      </c>
      <c r="I4" s="2">
        <v>2.5749000000000001E-2</v>
      </c>
      <c r="J4" s="2">
        <v>5.7299999999999997E-2</v>
      </c>
      <c r="K4" s="2">
        <v>0.12130000000000001</v>
      </c>
      <c r="L4" s="2">
        <v>5.3898000000000001E-2</v>
      </c>
      <c r="M4" s="2">
        <v>2.4334000000000001E-2</v>
      </c>
      <c r="N4" s="2">
        <v>4.623E-2</v>
      </c>
      <c r="O4" s="2">
        <v>4.6010000000000002E-2</v>
      </c>
      <c r="P4" s="2">
        <v>4.5280000000000001E-2</v>
      </c>
      <c r="Q4" s="2">
        <v>1.7430000000000001E-2</v>
      </c>
    </row>
    <row r="5" spans="1:22" x14ac:dyDescent="0.3">
      <c r="A5" s="2" t="s">
        <v>3</v>
      </c>
      <c r="B5" s="2">
        <v>0.15720000000000001</v>
      </c>
      <c r="C5" s="2">
        <v>0.39979999999999999</v>
      </c>
      <c r="D5" s="4">
        <v>8.9083999999999997E-2</v>
      </c>
      <c r="E5" s="3">
        <v>4.8434999999999999E-2</v>
      </c>
      <c r="F5" s="2">
        <v>0.20930000000000001</v>
      </c>
      <c r="G5" s="2">
        <v>0.43459999999999999</v>
      </c>
      <c r="H5" s="2">
        <v>9.7001000000000004E-2</v>
      </c>
      <c r="I5" s="2">
        <v>4.9558999999999999E-2</v>
      </c>
      <c r="J5" s="2">
        <v>0.12189999999999999</v>
      </c>
      <c r="K5" s="2">
        <v>0.33479999999999999</v>
      </c>
      <c r="L5" s="3">
        <v>8.9565000000000006E-2</v>
      </c>
      <c r="M5" s="4">
        <v>5.0069000000000002E-2</v>
      </c>
      <c r="N5" s="2">
        <v>0.1067</v>
      </c>
      <c r="O5" s="2">
        <v>0.17100000000000001</v>
      </c>
      <c r="P5" s="5">
        <v>8.4180000000000005E-2</v>
      </c>
      <c r="Q5" s="5">
        <v>3.9440000000000003E-2</v>
      </c>
    </row>
    <row r="6" spans="1:22" x14ac:dyDescent="0.3">
      <c r="A6" s="2" t="s">
        <v>4</v>
      </c>
      <c r="B6" s="2">
        <v>5.4300000000000001E-2</v>
      </c>
      <c r="C6" s="2">
        <v>8.6400000000000005E-2</v>
      </c>
      <c r="D6" s="5">
        <v>4.8119000000000002E-2</v>
      </c>
      <c r="E6" s="5">
        <v>2.4663000000000001E-2</v>
      </c>
      <c r="F6" s="2">
        <v>5.0299999999999997E-2</v>
      </c>
      <c r="G6" s="2">
        <v>8.3000000000000004E-2</v>
      </c>
      <c r="H6" s="2">
        <v>5.1415000000000002E-2</v>
      </c>
      <c r="I6" s="2">
        <v>2.5248E-2</v>
      </c>
      <c r="J6" s="2">
        <v>5.4199999999999998E-2</v>
      </c>
      <c r="K6" s="2">
        <v>8.6599999999999996E-2</v>
      </c>
      <c r="L6" s="5">
        <v>4.6941999999999998E-2</v>
      </c>
      <c r="M6" s="4">
        <v>2.3404000000000001E-2</v>
      </c>
      <c r="N6" s="2">
        <v>2.0289999999999999E-2</v>
      </c>
      <c r="O6" s="2">
        <v>2.1010000000000001E-2</v>
      </c>
      <c r="P6" s="5">
        <v>3.261E-2</v>
      </c>
      <c r="Q6" s="5">
        <v>1.2760000000000001E-2</v>
      </c>
    </row>
    <row r="7" spans="1:22" x14ac:dyDescent="0.3">
      <c r="A7" s="2" t="s">
        <v>5</v>
      </c>
      <c r="B7" s="2">
        <v>0.22800000000000001</v>
      </c>
      <c r="C7" s="2">
        <v>0.55700000000000005</v>
      </c>
      <c r="D7" s="5">
        <v>7.4945999999999999E-2</v>
      </c>
      <c r="E7" s="5">
        <v>4.0146000000000001E-2</v>
      </c>
      <c r="F7" s="2">
        <v>0.182</v>
      </c>
      <c r="G7" s="2">
        <v>0.433</v>
      </c>
      <c r="H7" s="5">
        <v>9.0237999999999999E-2</v>
      </c>
      <c r="I7" s="5">
        <v>4.8397000000000003E-2</v>
      </c>
      <c r="J7" s="2">
        <v>0.2082</v>
      </c>
      <c r="K7" s="2">
        <v>0.35489999999999999</v>
      </c>
      <c r="L7" s="5">
        <v>8.0366000000000007E-2</v>
      </c>
      <c r="M7" s="5">
        <v>4.2525E-2</v>
      </c>
      <c r="N7" s="2">
        <v>6.7199999999999996E-2</v>
      </c>
      <c r="O7" s="2">
        <v>6.6100000000000006E-2</v>
      </c>
      <c r="P7" s="5">
        <v>0.1045</v>
      </c>
      <c r="Q7" s="4">
        <v>4.2680000000000003E-2</v>
      </c>
    </row>
    <row r="8" spans="1:22" x14ac:dyDescent="0.3">
      <c r="A8" s="2" t="s">
        <v>6</v>
      </c>
      <c r="B8" s="2">
        <v>3.918E-2</v>
      </c>
      <c r="C8" s="2">
        <v>5.5030000000000003E-2</v>
      </c>
      <c r="D8" s="5">
        <v>5.3748999999999998E-2</v>
      </c>
      <c r="E8" s="5">
        <v>2.1260999999999999E-2</v>
      </c>
      <c r="F8" s="2">
        <v>6.2700000000000006E-2</v>
      </c>
      <c r="G8" s="2">
        <v>9.3799999999999994E-2</v>
      </c>
      <c r="H8" s="4">
        <v>4.8631000000000001E-2</v>
      </c>
      <c r="I8" s="5">
        <v>1.9689999999999999E-2</v>
      </c>
      <c r="J8" s="2">
        <v>3.8800000000000001E-2</v>
      </c>
      <c r="K8" s="2">
        <v>6.132E-2</v>
      </c>
      <c r="L8" s="5">
        <v>5.1901000000000003E-2</v>
      </c>
      <c r="M8" s="5">
        <v>1.9564000000000002E-2</v>
      </c>
      <c r="N8" s="2">
        <v>2.9520000000000001E-2</v>
      </c>
      <c r="O8" s="2">
        <v>4.8009999999999997E-2</v>
      </c>
      <c r="P8" s="5">
        <v>4.9930000000000002E-2</v>
      </c>
      <c r="Q8" s="5">
        <v>1.469E-2</v>
      </c>
    </row>
    <row r="9" spans="1:22" x14ac:dyDescent="0.3">
      <c r="A9" s="2" t="s">
        <v>7</v>
      </c>
      <c r="B9" s="2">
        <v>4.2900000000000001E-2</v>
      </c>
      <c r="C9" s="2">
        <v>6.9900000000000004E-2</v>
      </c>
      <c r="D9" s="5">
        <v>5.3356000000000001E-2</v>
      </c>
      <c r="E9" s="5">
        <v>2.6120999999999998E-2</v>
      </c>
      <c r="F9" s="2">
        <v>0.05</v>
      </c>
      <c r="G9" s="2">
        <v>6.7599999999999993E-2</v>
      </c>
      <c r="H9" s="5">
        <v>5.3642000000000002E-2</v>
      </c>
      <c r="I9" s="4">
        <v>2.7677E-2</v>
      </c>
      <c r="J9" s="2">
        <v>5.96E-2</v>
      </c>
      <c r="K9" s="2">
        <v>8.5000000000000006E-2</v>
      </c>
      <c r="L9" s="5">
        <v>5.1319999999999998E-2</v>
      </c>
      <c r="M9" s="3">
        <v>2.6308999999999999E-2</v>
      </c>
      <c r="N9" s="2">
        <v>2.7269999999999999E-2</v>
      </c>
      <c r="O9" s="2">
        <v>2.734E-2</v>
      </c>
      <c r="P9" s="5">
        <v>4.8419999999999998E-2</v>
      </c>
      <c r="Q9" s="3">
        <v>1.2659999999999999E-2</v>
      </c>
    </row>
    <row r="10" spans="1:22" x14ac:dyDescent="0.3">
      <c r="A10" s="2" t="s">
        <v>8</v>
      </c>
      <c r="B10" s="2">
        <v>0.17219999999999999</v>
      </c>
      <c r="C10" s="2">
        <v>0.41339999999999999</v>
      </c>
      <c r="D10" s="5">
        <v>9.1687000000000005E-2</v>
      </c>
      <c r="E10" s="5">
        <v>4.6628000000000003E-2</v>
      </c>
      <c r="F10" s="2">
        <v>0.20200000000000001</v>
      </c>
      <c r="G10" s="2">
        <v>0.55200000000000005</v>
      </c>
      <c r="H10" s="5">
        <v>0.100151</v>
      </c>
      <c r="I10" s="5">
        <v>5.0074E-2</v>
      </c>
      <c r="J10" s="2">
        <v>0.1394</v>
      </c>
      <c r="K10" s="2">
        <v>0.35780000000000001</v>
      </c>
      <c r="L10" s="5">
        <v>9.0023000000000006E-2</v>
      </c>
      <c r="M10" s="5">
        <v>4.6778E-2</v>
      </c>
      <c r="N10" s="2">
        <v>6.7659999999999998E-2</v>
      </c>
      <c r="O10" s="2">
        <v>6.6470000000000001E-2</v>
      </c>
      <c r="P10" s="5">
        <v>9.7559999999999994E-2</v>
      </c>
      <c r="Q10" s="5">
        <v>3.8080000000000003E-2</v>
      </c>
    </row>
    <row r="11" spans="1:22" x14ac:dyDescent="0.3">
      <c r="A11" s="2" t="s">
        <v>9</v>
      </c>
      <c r="B11" s="2">
        <v>4.3200000000000002E-2</v>
      </c>
      <c r="C11" s="2">
        <v>6.6640000000000005E-2</v>
      </c>
      <c r="D11" s="5">
        <v>5.7334000000000003E-2</v>
      </c>
      <c r="E11" s="5">
        <v>2.8485E-2</v>
      </c>
      <c r="F11" s="2">
        <v>5.6300000000000003E-2</v>
      </c>
      <c r="G11" s="2">
        <v>8.6099999999999996E-2</v>
      </c>
      <c r="H11" s="5">
        <v>6.1442999999999998E-2</v>
      </c>
      <c r="I11" s="5">
        <v>3.3027000000000001E-2</v>
      </c>
      <c r="J11" s="2">
        <v>4.7699999999999999E-2</v>
      </c>
      <c r="K11" s="2">
        <v>7.2099999999999997E-2</v>
      </c>
      <c r="L11" s="5">
        <v>5.3191000000000002E-2</v>
      </c>
      <c r="M11" s="5">
        <v>2.6655000000000002E-2</v>
      </c>
      <c r="N11" s="2">
        <v>4.3069999999999997E-2</v>
      </c>
      <c r="O11" s="2">
        <v>3.585E-2</v>
      </c>
      <c r="P11" s="5">
        <v>4.7789999999999999E-2</v>
      </c>
      <c r="Q11" s="5">
        <v>1.771E-2</v>
      </c>
    </row>
    <row r="12" spans="1:22" x14ac:dyDescent="0.3">
      <c r="A12" s="2" t="s">
        <v>10</v>
      </c>
      <c r="B12" s="2">
        <v>0.45100000000000001</v>
      </c>
      <c r="C12" s="2">
        <v>1.9370000000000001</v>
      </c>
      <c r="D12" s="5">
        <v>0.15062999999999999</v>
      </c>
      <c r="E12" s="5">
        <v>9.5409999999999995E-2</v>
      </c>
      <c r="F12" s="2">
        <v>0.61899999999999999</v>
      </c>
      <c r="G12" s="2">
        <v>1.484</v>
      </c>
      <c r="H12" s="5">
        <v>0.19502</v>
      </c>
      <c r="I12" s="5">
        <v>0.1128</v>
      </c>
      <c r="J12" s="2">
        <v>0.47599999999999998</v>
      </c>
      <c r="K12" s="2">
        <v>1.9890000000000001</v>
      </c>
      <c r="L12" s="5">
        <v>0.14488999999999999</v>
      </c>
      <c r="M12" s="5">
        <v>9.4450000000000006E-2</v>
      </c>
      <c r="N12" s="2">
        <v>0.53600000000000003</v>
      </c>
      <c r="O12" s="2">
        <v>1.0449999999999999</v>
      </c>
      <c r="P12" s="5">
        <v>0.11706</v>
      </c>
      <c r="Q12" s="5">
        <v>5.8639999999999998E-2</v>
      </c>
    </row>
    <row r="13" spans="1:22" x14ac:dyDescent="0.3">
      <c r="A13" s="2" t="s">
        <v>11</v>
      </c>
      <c r="B13" s="2">
        <v>0.16220000000000001</v>
      </c>
      <c r="C13" s="2">
        <v>0.3407</v>
      </c>
      <c r="D13" s="5">
        <v>0.106948</v>
      </c>
      <c r="E13" s="4">
        <v>6.2220999999999999E-2</v>
      </c>
      <c r="F13" s="2">
        <v>0.16969999999999999</v>
      </c>
      <c r="G13" s="2">
        <v>0.35210000000000002</v>
      </c>
      <c r="H13" s="4">
        <v>0.13570599999999999</v>
      </c>
      <c r="I13" s="4">
        <v>7.5469999999999995E-2</v>
      </c>
      <c r="J13" s="2">
        <v>0.20699999999999999</v>
      </c>
      <c r="K13" s="2">
        <v>0.3584</v>
      </c>
      <c r="L13" s="5">
        <v>0.105367</v>
      </c>
      <c r="M13" s="5">
        <v>6.1536E-2</v>
      </c>
      <c r="N13" s="2">
        <v>0.19239999999999999</v>
      </c>
      <c r="O13" s="2">
        <v>0.35139999999999999</v>
      </c>
      <c r="P13" s="4">
        <v>9.7199999999999995E-2</v>
      </c>
      <c r="Q13" s="4">
        <v>4.7750000000000001E-2</v>
      </c>
    </row>
    <row r="14" spans="1:22" x14ac:dyDescent="0.3">
      <c r="A14" s="2" t="s">
        <v>12</v>
      </c>
      <c r="B14" s="2">
        <v>0.20669999999999999</v>
      </c>
      <c r="C14" s="2">
        <v>0.4168</v>
      </c>
      <c r="D14" s="5">
        <v>7.8731999999999996E-2</v>
      </c>
      <c r="E14" s="5">
        <v>4.0305000000000001E-2</v>
      </c>
      <c r="F14" s="2">
        <v>0.19489999999999999</v>
      </c>
      <c r="G14" s="2">
        <v>0.34949999999999998</v>
      </c>
      <c r="H14" s="5">
        <v>8.4349999999999994E-2</v>
      </c>
      <c r="I14" s="5">
        <v>4.5081000000000003E-2</v>
      </c>
      <c r="J14" s="2">
        <v>0.24959999999999999</v>
      </c>
      <c r="K14" s="2">
        <v>0.53129999999999999</v>
      </c>
      <c r="L14" s="5">
        <v>7.9864000000000004E-2</v>
      </c>
      <c r="M14" s="5">
        <v>4.1167000000000002E-2</v>
      </c>
      <c r="N14" s="2">
        <v>0.21929999999999999</v>
      </c>
      <c r="O14" s="2">
        <v>0.19450000000000001</v>
      </c>
      <c r="P14" s="4">
        <v>9.8500000000000004E-2</v>
      </c>
      <c r="Q14" s="4">
        <v>3.4549999999999997E-2</v>
      </c>
    </row>
    <row r="15" spans="1:22" x14ac:dyDescent="0.3">
      <c r="A15" s="2" t="s">
        <v>13</v>
      </c>
      <c r="B15" s="2">
        <v>6.1699999999999998E-2</v>
      </c>
      <c r="C15" s="2">
        <v>0.1779</v>
      </c>
      <c r="D15" s="5">
        <v>5.1663000000000001E-2</v>
      </c>
      <c r="E15" s="5">
        <v>2.2903E-2</v>
      </c>
      <c r="F15" s="2">
        <v>5.9900000000000002E-2</v>
      </c>
      <c r="G15" s="2">
        <v>0.17349999999999999</v>
      </c>
      <c r="H15" s="5">
        <v>5.9582000000000003E-2</v>
      </c>
      <c r="I15" s="5">
        <v>2.9464000000000001E-2</v>
      </c>
      <c r="J15" s="2">
        <v>9.5299999999999996E-2</v>
      </c>
      <c r="K15" s="2">
        <v>0.2051</v>
      </c>
      <c r="L15" s="5">
        <v>5.2188999999999999E-2</v>
      </c>
      <c r="M15" s="5">
        <v>2.2755000000000001E-2</v>
      </c>
      <c r="N15" s="2">
        <v>5.364E-2</v>
      </c>
      <c r="O15" s="2">
        <v>3.9710000000000002E-2</v>
      </c>
      <c r="P15" s="4">
        <v>5.534E-2</v>
      </c>
      <c r="Q15" s="4">
        <v>3.3700000000000001E-2</v>
      </c>
    </row>
    <row r="16" spans="1:22" x14ac:dyDescent="0.3">
      <c r="A16" s="2" t="s">
        <v>14</v>
      </c>
      <c r="B16" s="2">
        <v>0.24809999999999999</v>
      </c>
      <c r="C16" s="2">
        <v>0.47799999999999998</v>
      </c>
      <c r="D16" s="5">
        <v>9.9227999999999997E-2</v>
      </c>
      <c r="E16" s="4">
        <v>4.8794999999999998E-2</v>
      </c>
      <c r="F16" s="2">
        <v>0.26</v>
      </c>
      <c r="G16" s="2">
        <v>0.50639999999999996</v>
      </c>
      <c r="H16" s="4">
        <v>0.104959</v>
      </c>
      <c r="I16" s="4">
        <v>4.7801999999999997E-2</v>
      </c>
      <c r="J16" s="2">
        <v>0.37690000000000001</v>
      </c>
      <c r="K16" s="2">
        <v>0.76719999999999999</v>
      </c>
      <c r="L16" s="4">
        <v>9.7173999999999996E-2</v>
      </c>
      <c r="M16" s="4">
        <v>4.8592999999999997E-2</v>
      </c>
      <c r="N16" s="2">
        <v>0.26750000000000002</v>
      </c>
      <c r="O16" s="2">
        <v>0.29149999999999998</v>
      </c>
      <c r="P16" s="4">
        <v>9.9669999999999995E-2</v>
      </c>
      <c r="Q16" s="4">
        <v>3.6859999999999997E-2</v>
      </c>
    </row>
    <row r="17" spans="1:17" x14ac:dyDescent="0.3">
      <c r="A17" s="2" t="s">
        <v>41</v>
      </c>
      <c r="B17" s="2">
        <v>8.0500000000000002E-2</v>
      </c>
      <c r="C17" s="2">
        <v>0.13450000000000001</v>
      </c>
      <c r="D17" s="5">
        <v>5.0595000000000001E-2</v>
      </c>
      <c r="E17" s="5">
        <v>2.0906000000000001E-2</v>
      </c>
      <c r="F17" s="2">
        <v>6.5100000000000005E-2</v>
      </c>
      <c r="G17" s="2">
        <v>0.1167</v>
      </c>
      <c r="H17" s="5">
        <v>5.2789000000000003E-2</v>
      </c>
      <c r="I17" s="5">
        <v>2.1950999999999998E-2</v>
      </c>
      <c r="J17" s="2">
        <v>8.1100000000000005E-2</v>
      </c>
      <c r="K17" s="2">
        <v>0.1429</v>
      </c>
      <c r="L17" s="5">
        <v>4.9848000000000003E-2</v>
      </c>
      <c r="M17" s="5">
        <v>2.0954E-2</v>
      </c>
      <c r="N17" s="2">
        <v>6.6890000000000005E-2</v>
      </c>
      <c r="O17" s="2">
        <v>6.7769999999999997E-2</v>
      </c>
      <c r="P17" s="4">
        <v>5.9400000000000001E-2</v>
      </c>
      <c r="Q17" s="4">
        <v>1.576E-2</v>
      </c>
    </row>
    <row r="18" spans="1:17" x14ac:dyDescent="0.3">
      <c r="B18" s="2">
        <f xml:space="preserve"> MAX(B2:B17)</f>
        <v>0.45100000000000001</v>
      </c>
      <c r="C18" s="2">
        <f t="shared" ref="C18:Q18" si="0" xml:space="preserve"> MAX(C2:C17)</f>
        <v>1.9370000000000001</v>
      </c>
      <c r="D18" s="2">
        <f t="shared" si="0"/>
        <v>0.15062999999999999</v>
      </c>
      <c r="E18" s="2">
        <f t="shared" si="0"/>
        <v>9.5409999999999995E-2</v>
      </c>
      <c r="F18" s="2">
        <f t="shared" si="0"/>
        <v>0.61899999999999999</v>
      </c>
      <c r="G18" s="2">
        <f t="shared" si="0"/>
        <v>1.484</v>
      </c>
      <c r="H18" s="2">
        <f t="shared" si="0"/>
        <v>0.19502</v>
      </c>
      <c r="I18" s="2">
        <f t="shared" si="0"/>
        <v>0.1128</v>
      </c>
      <c r="J18" s="2">
        <f t="shared" si="0"/>
        <v>0.47599999999999998</v>
      </c>
      <c r="K18" s="2">
        <f t="shared" si="0"/>
        <v>1.9890000000000001</v>
      </c>
      <c r="L18" s="2">
        <f t="shared" si="0"/>
        <v>0.14488999999999999</v>
      </c>
      <c r="M18" s="2">
        <f t="shared" si="0"/>
        <v>9.4450000000000006E-2</v>
      </c>
      <c r="N18" s="2">
        <f t="shared" si="0"/>
        <v>0.53600000000000003</v>
      </c>
      <c r="O18" s="2">
        <f t="shared" si="0"/>
        <v>1.0449999999999999</v>
      </c>
      <c r="P18" s="2">
        <f t="shared" si="0"/>
        <v>0.11706</v>
      </c>
      <c r="Q18" s="2">
        <f t="shared" si="0"/>
        <v>5.8639999999999998E-2</v>
      </c>
    </row>
    <row r="19" spans="1:17" x14ac:dyDescent="0.3">
      <c r="B19" s="2" t="s">
        <v>34</v>
      </c>
      <c r="C19" s="2" t="s">
        <v>35</v>
      </c>
      <c r="D19" s="2" t="s">
        <v>36</v>
      </c>
      <c r="E19" s="2" t="s">
        <v>38</v>
      </c>
      <c r="F19" s="1" t="s">
        <v>15</v>
      </c>
      <c r="G19" s="2" t="s">
        <v>49</v>
      </c>
      <c r="H19" s="2" t="s">
        <v>48</v>
      </c>
      <c r="I19" s="2" t="s">
        <v>37</v>
      </c>
      <c r="J19" s="2" t="s">
        <v>38</v>
      </c>
      <c r="O19" s="1"/>
      <c r="Q19" s="1"/>
    </row>
    <row r="20" spans="1:17" x14ac:dyDescent="0.3">
      <c r="A20" s="2" t="s">
        <v>0</v>
      </c>
      <c r="B20" s="6">
        <v>0.94799999999999995</v>
      </c>
      <c r="C20" s="6" t="s">
        <v>50</v>
      </c>
      <c r="D20" s="6">
        <v>0.93500000000000005</v>
      </c>
      <c r="E20" s="1" t="s">
        <v>15</v>
      </c>
      <c r="F20" s="1" t="s">
        <v>15</v>
      </c>
      <c r="G20" s="6">
        <v>4.9000000000000002E-2</v>
      </c>
      <c r="H20" s="6">
        <v>2.4E-2</v>
      </c>
      <c r="I20" s="6">
        <v>1.2E-2</v>
      </c>
      <c r="J20" s="1" t="s">
        <v>15</v>
      </c>
      <c r="N20" s="1"/>
      <c r="O20" s="1"/>
      <c r="P20" s="1"/>
      <c r="Q20" s="1"/>
    </row>
    <row r="21" spans="1:17" x14ac:dyDescent="0.3">
      <c r="A21" s="2" t="s">
        <v>1</v>
      </c>
      <c r="B21" s="6">
        <v>0.78600000000000003</v>
      </c>
      <c r="C21" s="6" t="s">
        <v>51</v>
      </c>
      <c r="D21" s="6">
        <v>0.95399999999999996</v>
      </c>
      <c r="E21" s="1" t="s">
        <v>15</v>
      </c>
      <c r="F21" s="1" t="s">
        <v>15</v>
      </c>
      <c r="G21" s="6">
        <v>0.161</v>
      </c>
      <c r="H21" s="6">
        <v>5.0999999999999997E-2</v>
      </c>
      <c r="I21" s="6" t="s">
        <v>62</v>
      </c>
      <c r="J21" s="1" t="s">
        <v>15</v>
      </c>
      <c r="L21" s="2" t="s">
        <v>70</v>
      </c>
      <c r="M21" s="2" t="s">
        <v>16</v>
      </c>
      <c r="N21" s="1"/>
      <c r="O21" s="1"/>
      <c r="P21" s="1"/>
      <c r="Q21" s="1"/>
    </row>
    <row r="22" spans="1:17" x14ac:dyDescent="0.3">
      <c r="A22" s="2" t="s">
        <v>2</v>
      </c>
      <c r="B22" s="6" t="s">
        <v>52</v>
      </c>
      <c r="C22" s="6">
        <v>0.41399999999999998</v>
      </c>
      <c r="D22" s="6">
        <v>0.9</v>
      </c>
      <c r="E22" s="1" t="s">
        <v>15</v>
      </c>
      <c r="F22" s="1" t="s">
        <v>15</v>
      </c>
      <c r="G22" s="6" t="s">
        <v>63</v>
      </c>
      <c r="H22" s="6">
        <v>6.0000000000000001E-3</v>
      </c>
      <c r="I22" s="6">
        <v>6.0000000000000001E-3</v>
      </c>
      <c r="J22" s="1" t="s">
        <v>15</v>
      </c>
      <c r="L22" s="2" t="s">
        <v>71</v>
      </c>
      <c r="M22" s="3" t="s">
        <v>17</v>
      </c>
      <c r="N22" s="1"/>
      <c r="O22" s="1"/>
      <c r="P22" s="1"/>
      <c r="Q22" s="1"/>
    </row>
    <row r="23" spans="1:17" x14ac:dyDescent="0.3">
      <c r="A23" s="2" t="s">
        <v>3</v>
      </c>
      <c r="B23" s="6">
        <v>0.86599999999999999</v>
      </c>
      <c r="C23" s="6">
        <v>0.46700000000000003</v>
      </c>
      <c r="D23" s="6" t="s">
        <v>53</v>
      </c>
      <c r="E23" s="1" t="s">
        <v>15</v>
      </c>
      <c r="F23" s="1" t="s">
        <v>15</v>
      </c>
      <c r="G23" s="6" t="s">
        <v>64</v>
      </c>
      <c r="H23" s="6">
        <v>2.5000000000000001E-2</v>
      </c>
      <c r="I23" s="6">
        <v>0.38</v>
      </c>
      <c r="J23" s="1" t="s">
        <v>15</v>
      </c>
      <c r="N23" s="1"/>
      <c r="O23" s="1"/>
      <c r="P23" s="1"/>
      <c r="Q23" s="1"/>
    </row>
    <row r="24" spans="1:17" x14ac:dyDescent="0.3">
      <c r="A24" s="2" t="s">
        <v>4</v>
      </c>
      <c r="B24" s="6">
        <v>3.3000000000000002E-2</v>
      </c>
      <c r="C24" s="6" t="s">
        <v>54</v>
      </c>
      <c r="D24" s="6">
        <v>3.1E-2</v>
      </c>
      <c r="E24" s="1" t="s">
        <v>15</v>
      </c>
      <c r="F24" s="1" t="s">
        <v>15</v>
      </c>
      <c r="G24" s="6">
        <v>0</v>
      </c>
      <c r="H24" s="6">
        <v>0</v>
      </c>
      <c r="I24" s="6">
        <v>0</v>
      </c>
      <c r="J24" s="1" t="s">
        <v>15</v>
      </c>
      <c r="N24" s="1"/>
      <c r="O24" s="1"/>
      <c r="P24" s="1"/>
      <c r="Q24" s="1"/>
    </row>
    <row r="25" spans="1:17" x14ac:dyDescent="0.3">
      <c r="A25" s="2" t="s">
        <v>5</v>
      </c>
      <c r="B25" s="6">
        <v>0.309</v>
      </c>
      <c r="C25" s="6" t="s">
        <v>39</v>
      </c>
      <c r="D25" s="6">
        <v>0.41599999999999998</v>
      </c>
      <c r="E25" s="1" t="s">
        <v>15</v>
      </c>
      <c r="F25" s="1" t="s">
        <v>15</v>
      </c>
      <c r="G25" s="6">
        <v>0</v>
      </c>
      <c r="H25" s="6">
        <v>8.0000000000000002E-3</v>
      </c>
      <c r="I25" s="6">
        <v>0</v>
      </c>
      <c r="J25" s="1" t="s">
        <v>15</v>
      </c>
      <c r="N25" s="1"/>
      <c r="O25" s="1"/>
      <c r="P25" s="1"/>
      <c r="Q25" s="1"/>
    </row>
    <row r="26" spans="1:17" x14ac:dyDescent="0.3">
      <c r="A26" s="2" t="s">
        <v>6</v>
      </c>
      <c r="B26" s="6">
        <v>0.81499999999999995</v>
      </c>
      <c r="C26" s="6">
        <v>5.2999999999999999E-2</v>
      </c>
      <c r="D26" s="6" t="s">
        <v>55</v>
      </c>
      <c r="E26" s="1" t="s">
        <v>15</v>
      </c>
      <c r="F26" s="1" t="s">
        <v>15</v>
      </c>
      <c r="G26" s="6">
        <v>0.19</v>
      </c>
      <c r="H26" s="6" t="s">
        <v>66</v>
      </c>
      <c r="I26" s="6">
        <v>0.59399999999999997</v>
      </c>
      <c r="J26" s="1" t="s">
        <v>15</v>
      </c>
      <c r="N26" s="1"/>
      <c r="O26" s="1"/>
      <c r="P26" s="1"/>
      <c r="Q26" s="1"/>
    </row>
    <row r="27" spans="1:17" x14ac:dyDescent="0.3">
      <c r="A27" s="2" t="s">
        <v>7</v>
      </c>
      <c r="B27" s="6" t="s">
        <v>40</v>
      </c>
      <c r="C27" s="6">
        <v>0.3</v>
      </c>
      <c r="D27" s="6">
        <v>3.9E-2</v>
      </c>
      <c r="E27" s="1" t="s">
        <v>15</v>
      </c>
      <c r="F27" s="1" t="s">
        <v>15</v>
      </c>
      <c r="G27" s="6">
        <v>0.16700000000000001</v>
      </c>
      <c r="H27" s="6">
        <v>0.14699999999999999</v>
      </c>
      <c r="I27" s="6" t="s">
        <v>65</v>
      </c>
      <c r="J27" s="1" t="s">
        <v>15</v>
      </c>
      <c r="N27" s="1"/>
      <c r="O27" s="1"/>
      <c r="P27" s="1"/>
      <c r="Q27" s="1"/>
    </row>
    <row r="28" spans="1:17" x14ac:dyDescent="0.3">
      <c r="A28" s="2" t="s">
        <v>8</v>
      </c>
      <c r="B28" s="6">
        <v>0.47</v>
      </c>
      <c r="C28" s="6">
        <v>0.36399999999999999</v>
      </c>
      <c r="D28" s="6" t="s">
        <v>56</v>
      </c>
      <c r="E28" s="1" t="s">
        <v>15</v>
      </c>
      <c r="F28" s="1" t="s">
        <v>15</v>
      </c>
      <c r="G28" s="6">
        <v>0.375</v>
      </c>
      <c r="H28" s="6" t="s">
        <v>67</v>
      </c>
      <c r="I28" s="6">
        <v>0.25800000000000001</v>
      </c>
      <c r="J28" s="1" t="s">
        <v>15</v>
      </c>
      <c r="N28" s="1"/>
      <c r="O28" s="1"/>
      <c r="P28" s="1"/>
      <c r="Q28" s="1"/>
    </row>
    <row r="29" spans="1:17" x14ac:dyDescent="0.3">
      <c r="A29" s="2" t="s">
        <v>9</v>
      </c>
      <c r="B29" s="6" t="s">
        <v>57</v>
      </c>
      <c r="C29" s="6">
        <v>0.63600000000000001</v>
      </c>
      <c r="D29" s="6">
        <v>0.97199999999999998</v>
      </c>
      <c r="E29" s="1" t="s">
        <v>15</v>
      </c>
      <c r="F29" s="1" t="s">
        <v>15</v>
      </c>
      <c r="G29" s="6">
        <v>2.3E-2</v>
      </c>
      <c r="H29" s="6">
        <v>1E-3</v>
      </c>
      <c r="I29" s="6" t="s">
        <v>68</v>
      </c>
      <c r="J29" s="1" t="s">
        <v>15</v>
      </c>
      <c r="N29" s="1"/>
      <c r="O29" s="1"/>
      <c r="P29" s="1"/>
      <c r="Q29" s="1"/>
    </row>
    <row r="30" spans="1:17" x14ac:dyDescent="0.3">
      <c r="A30" s="2" t="s">
        <v>10</v>
      </c>
      <c r="B30" s="6">
        <v>0.98799999999999999</v>
      </c>
      <c r="C30" s="6">
        <v>0.99299999999999999</v>
      </c>
      <c r="D30" s="6" t="s">
        <v>58</v>
      </c>
      <c r="E30" s="1" t="s">
        <v>15</v>
      </c>
      <c r="F30" s="1" t="s">
        <v>15</v>
      </c>
      <c r="G30" s="6">
        <v>2.1999999999999999E-2</v>
      </c>
      <c r="H30" s="6">
        <v>0</v>
      </c>
      <c r="I30" s="6">
        <v>6.7000000000000004E-2</v>
      </c>
      <c r="J30" s="1" t="s">
        <v>15</v>
      </c>
      <c r="N30" s="1"/>
      <c r="O30" s="1"/>
      <c r="P30" s="1"/>
      <c r="Q30" s="1"/>
    </row>
    <row r="31" spans="1:17" x14ac:dyDescent="0.3">
      <c r="A31" s="2" t="s">
        <v>11</v>
      </c>
      <c r="B31" s="6">
        <v>0.88800000000000001</v>
      </c>
      <c r="C31" s="6" t="s">
        <v>59</v>
      </c>
      <c r="D31" s="6">
        <v>0.94899999999999995</v>
      </c>
      <c r="E31" s="1" t="s">
        <v>15</v>
      </c>
      <c r="F31" s="1" t="s">
        <v>15</v>
      </c>
      <c r="G31" s="6">
        <v>0.17199999999999999</v>
      </c>
      <c r="H31" s="6">
        <v>0</v>
      </c>
      <c r="I31" s="6">
        <v>0.25900000000000001</v>
      </c>
      <c r="J31" s="1" t="s">
        <v>15</v>
      </c>
      <c r="N31" s="1"/>
      <c r="O31" s="1"/>
      <c r="P31" s="1"/>
      <c r="Q31" s="1"/>
    </row>
    <row r="32" spans="1:17" x14ac:dyDescent="0.3">
      <c r="A32" s="2" t="s">
        <v>12</v>
      </c>
      <c r="B32" s="6" t="s">
        <v>60</v>
      </c>
      <c r="C32" s="6">
        <v>0.91400000000000003</v>
      </c>
      <c r="D32" s="6">
        <v>0.93300000000000005</v>
      </c>
      <c r="E32" s="1" t="s">
        <v>15</v>
      </c>
      <c r="F32" s="1" t="s">
        <v>15</v>
      </c>
      <c r="G32" s="6">
        <v>0</v>
      </c>
      <c r="H32" s="2">
        <v>2E-3</v>
      </c>
      <c r="I32" s="2">
        <v>0</v>
      </c>
      <c r="J32" s="1" t="s">
        <v>15</v>
      </c>
      <c r="N32" s="1"/>
      <c r="O32" s="1"/>
      <c r="P32" s="1"/>
      <c r="Q32" s="1"/>
    </row>
    <row r="33" spans="1:17" x14ac:dyDescent="0.3">
      <c r="A33" s="2" t="s">
        <v>13</v>
      </c>
      <c r="B33" s="6">
        <v>0.97599999999999998</v>
      </c>
      <c r="C33" s="6">
        <v>0.318</v>
      </c>
      <c r="D33" s="6" t="s">
        <v>59</v>
      </c>
      <c r="E33" s="1" t="s">
        <v>15</v>
      </c>
      <c r="F33" s="1" t="s">
        <v>15</v>
      </c>
      <c r="G33" s="6">
        <v>0.17299999999999999</v>
      </c>
      <c r="H33" s="2">
        <v>0.11700000000000001</v>
      </c>
      <c r="I33" s="2" t="s">
        <v>69</v>
      </c>
      <c r="J33" s="1" t="s">
        <v>15</v>
      </c>
      <c r="N33" s="1"/>
      <c r="O33" s="1"/>
      <c r="P33" s="1"/>
      <c r="Q33" s="1"/>
    </row>
    <row r="34" spans="1:17" x14ac:dyDescent="0.3">
      <c r="A34" s="2" t="s">
        <v>14</v>
      </c>
      <c r="B34" s="6">
        <v>0.98599999999999999</v>
      </c>
      <c r="C34" s="6">
        <v>0.39100000000000001</v>
      </c>
      <c r="D34" s="6" t="s">
        <v>42</v>
      </c>
      <c r="E34" s="1" t="s">
        <v>15</v>
      </c>
      <c r="F34" s="1" t="s">
        <v>15</v>
      </c>
      <c r="G34" s="6" t="s">
        <v>42</v>
      </c>
      <c r="H34" s="2">
        <v>0.183</v>
      </c>
      <c r="I34" s="2">
        <v>0.63700000000000001</v>
      </c>
      <c r="J34" s="1" t="s">
        <v>15</v>
      </c>
      <c r="N34" s="1"/>
      <c r="O34" s="1"/>
      <c r="P34" s="1"/>
      <c r="Q34" s="1"/>
    </row>
    <row r="35" spans="1:17" x14ac:dyDescent="0.3">
      <c r="A35" s="2" t="s">
        <v>41</v>
      </c>
      <c r="B35" s="6">
        <v>0.81200000000000006</v>
      </c>
      <c r="C35" s="6" t="s">
        <v>42</v>
      </c>
      <c r="D35" s="6">
        <v>0.79200000000000004</v>
      </c>
      <c r="E35" s="1" t="s">
        <v>15</v>
      </c>
      <c r="F35" s="1" t="s">
        <v>15</v>
      </c>
      <c r="G35" s="6">
        <v>0</v>
      </c>
      <c r="H35" s="2">
        <v>6.0000000000000001E-3</v>
      </c>
      <c r="I35" s="2">
        <v>0</v>
      </c>
      <c r="J35" s="1" t="s">
        <v>15</v>
      </c>
      <c r="N35" s="1"/>
      <c r="O35" s="1"/>
      <c r="P35" s="1"/>
      <c r="Q35" s="1"/>
    </row>
    <row r="36" spans="1:17" x14ac:dyDescent="0.3">
      <c r="E36" s="1" t="s">
        <v>15</v>
      </c>
      <c r="F36" s="1" t="s">
        <v>15</v>
      </c>
      <c r="J36" s="1" t="s">
        <v>15</v>
      </c>
    </row>
    <row r="37" spans="1:17" x14ac:dyDescent="0.3">
      <c r="A37" s="2" t="s">
        <v>61</v>
      </c>
      <c r="B37" s="2">
        <v>4</v>
      </c>
      <c r="C37" s="2">
        <v>6</v>
      </c>
      <c r="D37" s="2">
        <v>6</v>
      </c>
      <c r="E37" s="1" t="s">
        <v>15</v>
      </c>
      <c r="F37" s="1" t="s">
        <v>15</v>
      </c>
      <c r="G37" s="2">
        <v>3</v>
      </c>
      <c r="H37" s="2">
        <v>2</v>
      </c>
      <c r="I37" s="2">
        <v>4</v>
      </c>
      <c r="J37" s="1" t="s">
        <v>15</v>
      </c>
      <c r="K37"/>
      <c r="L37"/>
    </row>
    <row r="40" spans="1:17" x14ac:dyDescent="0.3">
      <c r="D40" s="2" t="s">
        <v>72</v>
      </c>
      <c r="E40" s="2" t="s">
        <v>74</v>
      </c>
      <c r="F40" s="2" t="s">
        <v>73</v>
      </c>
    </row>
    <row r="41" spans="1:17" x14ac:dyDescent="0.3">
      <c r="C41" s="2" t="s">
        <v>61</v>
      </c>
      <c r="D41" s="2">
        <v>4</v>
      </c>
      <c r="E41" s="2">
        <v>6</v>
      </c>
      <c r="F41" s="2">
        <v>6</v>
      </c>
    </row>
    <row r="43" spans="1:17" x14ac:dyDescent="0.3">
      <c r="D43" s="2" t="s">
        <v>77</v>
      </c>
      <c r="E43" s="2" t="s">
        <v>75</v>
      </c>
      <c r="F43" s="2" t="s">
        <v>76</v>
      </c>
    </row>
    <row r="44" spans="1:17" x14ac:dyDescent="0.3">
      <c r="C44" s="2" t="s">
        <v>61</v>
      </c>
      <c r="D44" s="2">
        <v>3</v>
      </c>
      <c r="E44" s="2">
        <v>2</v>
      </c>
      <c r="F44" s="2">
        <v>4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Baxter Healthcare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Lyles, Jordan</dc:creator>
  <cp:lastModifiedBy>Lyles, Jordan</cp:lastModifiedBy>
  <dcterms:created xsi:type="dcterms:W3CDTF">2022-07-21T19:50:55Z</dcterms:created>
  <dcterms:modified xsi:type="dcterms:W3CDTF">2022-08-04T18:26:54Z</dcterms:modified>
</cp:coreProperties>
</file>